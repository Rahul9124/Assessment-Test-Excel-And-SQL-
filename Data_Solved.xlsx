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Acer\Desktop\"/>
    </mc:Choice>
  </mc:AlternateContent>
  <xr:revisionPtr revIDLastSave="0" documentId="13_ncr:1_{41CC1F29-8156-4975-AC3A-EB992E7EBA4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les_Data" sheetId="1" r:id="rId1"/>
    <sheet name="Product_Master" sheetId="2" r:id="rId2"/>
    <sheet name="Monthly Target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" i="1" l="1"/>
  <c r="K3" i="1"/>
  <c r="K4" i="1"/>
  <c r="K5" i="1"/>
  <c r="K6" i="1"/>
  <c r="K7" i="1"/>
  <c r="K8" i="1"/>
  <c r="K9" i="1"/>
  <c r="K10" i="1"/>
  <c r="K11" i="1"/>
  <c r="I15" i="1"/>
  <c r="I3" i="1"/>
  <c r="I4" i="1"/>
  <c r="I5" i="1"/>
  <c r="I6" i="1"/>
  <c r="I7" i="1"/>
  <c r="I8" i="1"/>
  <c r="I9" i="1"/>
  <c r="I10" i="1"/>
  <c r="I11" i="1"/>
  <c r="I2" i="1"/>
  <c r="L11" i="1"/>
  <c r="J11" i="1"/>
  <c r="M11" i="1" s="1"/>
  <c r="N11" i="1" s="1"/>
  <c r="H11" i="1"/>
  <c r="L10" i="1"/>
  <c r="J10" i="1"/>
  <c r="H10" i="1"/>
  <c r="L9" i="1"/>
  <c r="J9" i="1"/>
  <c r="H9" i="1"/>
  <c r="L8" i="1"/>
  <c r="J8" i="1"/>
  <c r="M8" i="1" s="1"/>
  <c r="N8" i="1" s="1"/>
  <c r="H8" i="1"/>
  <c r="L7" i="1"/>
  <c r="J7" i="1"/>
  <c r="M7" i="1" s="1"/>
  <c r="N7" i="1" s="1"/>
  <c r="H7" i="1"/>
  <c r="L6" i="1"/>
  <c r="J6" i="1"/>
  <c r="H6" i="1"/>
  <c r="L5" i="1"/>
  <c r="J5" i="1"/>
  <c r="H5" i="1"/>
  <c r="L4" i="1"/>
  <c r="J4" i="1"/>
  <c r="M4" i="1" s="1"/>
  <c r="N4" i="1" s="1"/>
  <c r="H4" i="1"/>
  <c r="L3" i="1"/>
  <c r="J3" i="1"/>
  <c r="M3" i="1" s="1"/>
  <c r="N3" i="1" s="1"/>
  <c r="H3" i="1"/>
  <c r="L2" i="1"/>
  <c r="J2" i="1"/>
  <c r="H2" i="1"/>
  <c r="M5" i="1" l="1"/>
  <c r="N5" i="1" s="1"/>
  <c r="M9" i="1"/>
  <c r="N9" i="1" s="1"/>
  <c r="M2" i="1"/>
  <c r="N2" i="1" s="1"/>
  <c r="M6" i="1"/>
  <c r="N6" i="1" s="1"/>
  <c r="M10" i="1"/>
  <c r="N10" i="1" s="1"/>
</calcChain>
</file>

<file path=xl/sharedStrings.xml><?xml version="1.0" encoding="utf-8"?>
<sst xmlns="http://schemas.openxmlformats.org/spreadsheetml/2006/main" count="78" uniqueCount="54">
  <si>
    <t>Employee ID</t>
  </si>
  <si>
    <t>Employee Name</t>
  </si>
  <si>
    <t>Region</t>
  </si>
  <si>
    <t>Product ID</t>
  </si>
  <si>
    <t>Units Sold</t>
  </si>
  <si>
    <t>Sales Amount</t>
  </si>
  <si>
    <t>Target Sales (HLOOKUP)</t>
  </si>
  <si>
    <t>Variance</t>
  </si>
  <si>
    <t>Below Target?</t>
  </si>
  <si>
    <t>E101</t>
  </si>
  <si>
    <t>Rahul Mehta</t>
  </si>
  <si>
    <t>North</t>
  </si>
  <si>
    <t>P001</t>
  </si>
  <si>
    <t>E102</t>
  </si>
  <si>
    <t>Priya Sharma</t>
  </si>
  <si>
    <t>South</t>
  </si>
  <si>
    <t>P002</t>
  </si>
  <si>
    <t>E103</t>
  </si>
  <si>
    <t>Aman Verma</t>
  </si>
  <si>
    <t>East</t>
  </si>
  <si>
    <t>P003</t>
  </si>
  <si>
    <t>E104</t>
  </si>
  <si>
    <t>Sneha Patel</t>
  </si>
  <si>
    <t>West</t>
  </si>
  <si>
    <t>P004</t>
  </si>
  <si>
    <t>E105</t>
  </si>
  <si>
    <t>Rohan Gupta</t>
  </si>
  <si>
    <t>P005</t>
  </si>
  <si>
    <t>E106</t>
  </si>
  <si>
    <t>Meena Iyer</t>
  </si>
  <si>
    <t>E107</t>
  </si>
  <si>
    <t>Deepak Rao</t>
  </si>
  <si>
    <t>E108</t>
  </si>
  <si>
    <t>Kavita Das</t>
  </si>
  <si>
    <t>E109</t>
  </si>
  <si>
    <t>Ajay Nair</t>
  </si>
  <si>
    <t>E110</t>
  </si>
  <si>
    <t>Neha Kulkarni</t>
  </si>
  <si>
    <t>Product Name</t>
  </si>
  <si>
    <t>Category</t>
  </si>
  <si>
    <t>Price per Unit</t>
  </si>
  <si>
    <t>Laptop</t>
  </si>
  <si>
    <t>Electronics</t>
  </si>
  <si>
    <t>Smartphone</t>
  </si>
  <si>
    <t>Headphones</t>
  </si>
  <si>
    <t>Accessories</t>
  </si>
  <si>
    <t>Printer</t>
  </si>
  <si>
    <t>Office Supplies</t>
  </si>
  <si>
    <t>Monitor</t>
  </si>
  <si>
    <t>Target Sales</t>
  </si>
  <si>
    <t xml:space="preserve">Product name </t>
  </si>
  <si>
    <t>price per unit</t>
  </si>
  <si>
    <t>total sales value</t>
  </si>
  <si>
    <t xml:space="preserve">total revenue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</si>
</sst>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Alignment="1"/>
    <xf numFmtId="0" fontId="1" fillId="0" borderId="0" xfId="0" applyFont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N15"/>
  <sheetViews>
    <sheetView tabSelected="1" topLeftCell="C1" workbookViewId="0">
      <selection activeCell="M22" sqref="M22"/>
    </sheetView>
  </sheetViews>
  <sheetFormatPr defaultColWidth="12.6640625" defaultRowHeight="15.75" customHeight="1" x14ac:dyDescent="0.25"/>
  <cols>
    <col min="8" max="8" width="23" bestFit="1" customWidth="1"/>
    <col min="9" max="9" width="23" customWidth="1"/>
  </cols>
  <sheetData>
    <row r="1" spans="1:14" ht="13.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t="s">
        <v>50</v>
      </c>
      <c r="I1" s="1" t="s">
        <v>52</v>
      </c>
      <c r="J1" t="s">
        <v>51</v>
      </c>
      <c r="K1" t="s">
        <v>6</v>
      </c>
      <c r="L1" t="s">
        <v>7</v>
      </c>
      <c r="M1" t="s">
        <v>8</v>
      </c>
    </row>
    <row r="2" spans="1:14" ht="13.2" x14ac:dyDescent="0.25">
      <c r="A2" s="2" t="s">
        <v>9</v>
      </c>
      <c r="B2" s="2" t="s">
        <v>10</v>
      </c>
      <c r="C2" s="2" t="s">
        <v>11</v>
      </c>
      <c r="D2" s="2" t="s">
        <v>12</v>
      </c>
      <c r="E2" s="2">
        <v>15</v>
      </c>
      <c r="F2" s="2">
        <v>45000</v>
      </c>
      <c r="H2" t="str">
        <f>VLOOKUP(D2,Product_Master!A:D,2,FALSE)</f>
        <v>Laptop</v>
      </c>
      <c r="I2">
        <f>E2*J2</f>
        <v>45000</v>
      </c>
      <c r="J2">
        <f>VLOOKUP(D2,Product_Master!A:D,4,FALSE)</f>
        <v>3000</v>
      </c>
      <c r="K2">
        <f>E2*J2</f>
        <v>45000</v>
      </c>
      <c r="L2">
        <f>HLOOKUP(C2,'Monthly Target'!A1:E2,2,FALSE)</f>
        <v>150000</v>
      </c>
      <c r="M2">
        <f t="shared" ref="M2:M11" si="0">K2-L2</f>
        <v>-105000</v>
      </c>
      <c r="N2" t="str">
        <f t="shared" ref="N2:N11" si="1">IF(M2&lt;0,"YES","NO")</f>
        <v>YES</v>
      </c>
    </row>
    <row r="3" spans="1:14" ht="13.2" x14ac:dyDescent="0.25">
      <c r="A3" s="2" t="s">
        <v>13</v>
      </c>
      <c r="B3" s="2" t="s">
        <v>14</v>
      </c>
      <c r="C3" s="2" t="s">
        <v>15</v>
      </c>
      <c r="D3" s="2" t="s">
        <v>16</v>
      </c>
      <c r="E3" s="2">
        <v>20</v>
      </c>
      <c r="F3" s="2">
        <v>60000</v>
      </c>
      <c r="H3" t="str">
        <f>VLOOKUP(D3,Product_Master!A:D,2,FALSE)</f>
        <v>Smartphone</v>
      </c>
      <c r="I3">
        <f t="shared" ref="I3:I11" si="2">E3*J3</f>
        <v>60000</v>
      </c>
      <c r="J3">
        <f>VLOOKUP(D3,Product_Master!A:D,4,FALSE)</f>
        <v>3000</v>
      </c>
      <c r="K3">
        <f t="shared" ref="K3:K11" si="3">E3*J3</f>
        <v>60000</v>
      </c>
      <c r="L3">
        <f>HLOOKUP(C3,'Monthly Target'!A1:E2,2,FALSE)</f>
        <v>140000</v>
      </c>
      <c r="M3">
        <f t="shared" si="0"/>
        <v>-80000</v>
      </c>
      <c r="N3" t="str">
        <f t="shared" si="1"/>
        <v>YES</v>
      </c>
    </row>
    <row r="4" spans="1:14" ht="13.2" x14ac:dyDescent="0.25">
      <c r="A4" s="2" t="s">
        <v>17</v>
      </c>
      <c r="B4" s="2" t="s">
        <v>18</v>
      </c>
      <c r="C4" s="2" t="s">
        <v>19</v>
      </c>
      <c r="D4" s="2" t="s">
        <v>20</v>
      </c>
      <c r="E4" s="2">
        <v>10</v>
      </c>
      <c r="F4" s="2">
        <v>35000</v>
      </c>
      <c r="H4" t="str">
        <f>VLOOKUP(D4,Product_Master!A:D,2,FALSE)</f>
        <v>Headphones</v>
      </c>
      <c r="I4">
        <f t="shared" si="2"/>
        <v>35000</v>
      </c>
      <c r="J4">
        <f>VLOOKUP(D4,Product_Master!A:D,4,FALSE)</f>
        <v>3500</v>
      </c>
      <c r="K4">
        <f t="shared" si="3"/>
        <v>35000</v>
      </c>
      <c r="L4">
        <f>HLOOKUP(C4,'Monthly Target'!A1:E2,2,FALSE)</f>
        <v>120000</v>
      </c>
      <c r="M4">
        <f t="shared" si="0"/>
        <v>-85000</v>
      </c>
      <c r="N4" t="str">
        <f t="shared" si="1"/>
        <v>YES</v>
      </c>
    </row>
    <row r="5" spans="1:14" ht="13.2" x14ac:dyDescent="0.25">
      <c r="A5" s="2" t="s">
        <v>21</v>
      </c>
      <c r="B5" s="2" t="s">
        <v>22</v>
      </c>
      <c r="C5" s="2" t="s">
        <v>23</v>
      </c>
      <c r="D5" s="2" t="s">
        <v>24</v>
      </c>
      <c r="E5" s="2">
        <v>25</v>
      </c>
      <c r="F5" s="2">
        <v>125000</v>
      </c>
      <c r="H5" t="str">
        <f>VLOOKUP(D5,Product_Master!A:D,2,FALSE)</f>
        <v>Printer</v>
      </c>
      <c r="I5">
        <f t="shared" si="2"/>
        <v>125000</v>
      </c>
      <c r="J5">
        <f>VLOOKUP(D5,Product_Master!A:D,4,FALSE)</f>
        <v>5000</v>
      </c>
      <c r="K5">
        <f t="shared" si="3"/>
        <v>125000</v>
      </c>
      <c r="L5">
        <f>HLOOKUP(C5,'Monthly Target'!A1:E2,2,FALSE)</f>
        <v>160000</v>
      </c>
      <c r="M5">
        <f t="shared" si="0"/>
        <v>-35000</v>
      </c>
      <c r="N5" t="str">
        <f t="shared" si="1"/>
        <v>YES</v>
      </c>
    </row>
    <row r="6" spans="1:14" ht="13.2" x14ac:dyDescent="0.25">
      <c r="A6" s="2" t="s">
        <v>25</v>
      </c>
      <c r="B6" s="2" t="s">
        <v>26</v>
      </c>
      <c r="C6" s="2" t="s">
        <v>11</v>
      </c>
      <c r="D6" s="2" t="s">
        <v>27</v>
      </c>
      <c r="E6" s="2">
        <v>12</v>
      </c>
      <c r="F6" s="2">
        <v>48000</v>
      </c>
      <c r="H6" t="str">
        <f>VLOOKUP(D6,Product_Master!A:D,2,FALSE)</f>
        <v>Monitor</v>
      </c>
      <c r="I6">
        <f t="shared" si="2"/>
        <v>48000</v>
      </c>
      <c r="J6">
        <f>VLOOKUP(D6,Product_Master!A:D,4,FALSE)</f>
        <v>4000</v>
      </c>
      <c r="K6">
        <f t="shared" si="3"/>
        <v>48000</v>
      </c>
      <c r="L6">
        <f>HLOOKUP(C6,'Monthly Target'!A1:E2,2,FALSE)</f>
        <v>150000</v>
      </c>
      <c r="M6">
        <f t="shared" si="0"/>
        <v>-102000</v>
      </c>
      <c r="N6" t="str">
        <f t="shared" si="1"/>
        <v>YES</v>
      </c>
    </row>
    <row r="7" spans="1:14" ht="13.2" x14ac:dyDescent="0.25">
      <c r="A7" s="2" t="s">
        <v>28</v>
      </c>
      <c r="B7" s="2" t="s">
        <v>29</v>
      </c>
      <c r="C7" s="2" t="s">
        <v>19</v>
      </c>
      <c r="D7" s="2" t="s">
        <v>16</v>
      </c>
      <c r="E7" s="2">
        <v>18</v>
      </c>
      <c r="F7" s="2">
        <v>54000</v>
      </c>
      <c r="H7" t="str">
        <f>VLOOKUP(D7,Product_Master!A:D,2,FALSE)</f>
        <v>Smartphone</v>
      </c>
      <c r="I7">
        <f t="shared" si="2"/>
        <v>54000</v>
      </c>
      <c r="J7">
        <f>VLOOKUP(D7,Product_Master!A:D,4,FALSE)</f>
        <v>3000</v>
      </c>
      <c r="K7">
        <f t="shared" si="3"/>
        <v>54000</v>
      </c>
      <c r="L7">
        <f>HLOOKUP(C7,'Monthly Target'!A1:E2,2,FALSE)</f>
        <v>120000</v>
      </c>
      <c r="M7">
        <f t="shared" si="0"/>
        <v>-66000</v>
      </c>
      <c r="N7" t="str">
        <f t="shared" si="1"/>
        <v>YES</v>
      </c>
    </row>
    <row r="8" spans="1:14" ht="13.2" x14ac:dyDescent="0.25">
      <c r="A8" s="2" t="s">
        <v>30</v>
      </c>
      <c r="B8" s="2" t="s">
        <v>31</v>
      </c>
      <c r="C8" s="2" t="s">
        <v>15</v>
      </c>
      <c r="D8" s="2" t="s">
        <v>20</v>
      </c>
      <c r="E8" s="2">
        <v>22</v>
      </c>
      <c r="F8" s="2">
        <v>77000</v>
      </c>
      <c r="H8" t="str">
        <f>VLOOKUP(D8,Product_Master!A:D,2,FALSE)</f>
        <v>Headphones</v>
      </c>
      <c r="I8">
        <f t="shared" si="2"/>
        <v>77000</v>
      </c>
      <c r="J8">
        <f>VLOOKUP(D8,Product_Master!A:D,4,FALSE)</f>
        <v>3500</v>
      </c>
      <c r="K8">
        <f t="shared" si="3"/>
        <v>77000</v>
      </c>
      <c r="L8">
        <f>HLOOKUP(C8,'Monthly Target'!A1:E2,2,FALSE)</f>
        <v>140000</v>
      </c>
      <c r="M8">
        <f t="shared" si="0"/>
        <v>-63000</v>
      </c>
      <c r="N8" t="str">
        <f t="shared" si="1"/>
        <v>YES</v>
      </c>
    </row>
    <row r="9" spans="1:14" ht="13.2" x14ac:dyDescent="0.25">
      <c r="A9" s="2" t="s">
        <v>32</v>
      </c>
      <c r="B9" s="2" t="s">
        <v>33</v>
      </c>
      <c r="C9" s="2" t="s">
        <v>23</v>
      </c>
      <c r="D9" s="2" t="s">
        <v>12</v>
      </c>
      <c r="E9" s="2">
        <v>30</v>
      </c>
      <c r="F9" s="2">
        <v>90000</v>
      </c>
      <c r="H9" t="str">
        <f>VLOOKUP(D9,Product_Master!A:D,2,FALSE)</f>
        <v>Laptop</v>
      </c>
      <c r="I9">
        <f t="shared" si="2"/>
        <v>90000</v>
      </c>
      <c r="J9">
        <f>VLOOKUP(D9,Product_Master!A:D,4,FALSE)</f>
        <v>3000</v>
      </c>
      <c r="K9">
        <f t="shared" si="3"/>
        <v>90000</v>
      </c>
      <c r="L9">
        <f>HLOOKUP(C9,'Monthly Target'!A1:E2,2,FALSE)</f>
        <v>160000</v>
      </c>
      <c r="M9">
        <f t="shared" si="0"/>
        <v>-70000</v>
      </c>
      <c r="N9" t="str">
        <f t="shared" si="1"/>
        <v>YES</v>
      </c>
    </row>
    <row r="10" spans="1:14" ht="13.2" x14ac:dyDescent="0.25">
      <c r="A10" s="2" t="s">
        <v>34</v>
      </c>
      <c r="B10" s="2" t="s">
        <v>35</v>
      </c>
      <c r="C10" s="2" t="s">
        <v>11</v>
      </c>
      <c r="D10" s="2" t="s">
        <v>24</v>
      </c>
      <c r="E10" s="2">
        <v>14</v>
      </c>
      <c r="F10" s="2">
        <v>70000</v>
      </c>
      <c r="H10" t="str">
        <f>VLOOKUP(D10,Product_Master!A:D,2,FALSE)</f>
        <v>Printer</v>
      </c>
      <c r="I10">
        <f t="shared" si="2"/>
        <v>70000</v>
      </c>
      <c r="J10">
        <f>VLOOKUP(D10,Product_Master!A:D,4,FALSE)</f>
        <v>5000</v>
      </c>
      <c r="K10">
        <f t="shared" si="3"/>
        <v>70000</v>
      </c>
      <c r="L10">
        <f>HLOOKUP(C10,'Monthly Target'!A1:E2,2,FALSE)</f>
        <v>150000</v>
      </c>
      <c r="M10">
        <f t="shared" si="0"/>
        <v>-80000</v>
      </c>
      <c r="N10" t="str">
        <f t="shared" si="1"/>
        <v>YES</v>
      </c>
    </row>
    <row r="11" spans="1:14" ht="13.2" x14ac:dyDescent="0.25">
      <c r="A11" s="2" t="s">
        <v>36</v>
      </c>
      <c r="B11" s="2" t="s">
        <v>37</v>
      </c>
      <c r="C11" s="2" t="s">
        <v>19</v>
      </c>
      <c r="D11" s="2" t="s">
        <v>27</v>
      </c>
      <c r="E11" s="2">
        <v>8</v>
      </c>
      <c r="F11" s="2">
        <v>32000</v>
      </c>
      <c r="H11" t="str">
        <f>VLOOKUP(D11,Product_Master!A:D,2,FALSE)</f>
        <v>Monitor</v>
      </c>
      <c r="I11">
        <f t="shared" si="2"/>
        <v>32000</v>
      </c>
      <c r="J11">
        <f>VLOOKUP(D11,Product_Master!A:D,4,FALSE)</f>
        <v>4000</v>
      </c>
      <c r="K11">
        <f t="shared" si="3"/>
        <v>32000</v>
      </c>
      <c r="L11">
        <f>HLOOKUP(C11,'Monthly Target'!A1:E2,2,FALSE)</f>
        <v>120000</v>
      </c>
      <c r="M11">
        <f t="shared" si="0"/>
        <v>-88000</v>
      </c>
      <c r="N11" t="str">
        <f t="shared" si="1"/>
        <v>YES</v>
      </c>
    </row>
    <row r="14" spans="1:14" ht="15.75" customHeight="1" x14ac:dyDescent="0.25">
      <c r="I14" t="s">
        <v>53</v>
      </c>
    </row>
    <row r="15" spans="1:14" ht="15.75" customHeight="1" x14ac:dyDescent="0.25">
      <c r="I15">
        <f>SUM(I2:I11)</f>
        <v>636000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D6"/>
  <sheetViews>
    <sheetView workbookViewId="0"/>
  </sheetViews>
  <sheetFormatPr defaultColWidth="12.6640625" defaultRowHeight="15.75" customHeight="1" x14ac:dyDescent="0.25"/>
  <sheetData>
    <row r="1" spans="1:4" x14ac:dyDescent="0.25">
      <c r="A1" s="1" t="s">
        <v>3</v>
      </c>
      <c r="B1" s="1" t="s">
        <v>38</v>
      </c>
      <c r="C1" s="1" t="s">
        <v>39</v>
      </c>
      <c r="D1" s="1" t="s">
        <v>40</v>
      </c>
    </row>
    <row r="2" spans="1:4" x14ac:dyDescent="0.25">
      <c r="A2" s="2" t="s">
        <v>12</v>
      </c>
      <c r="B2" s="2" t="s">
        <v>41</v>
      </c>
      <c r="C2" s="2" t="s">
        <v>42</v>
      </c>
      <c r="D2" s="2">
        <v>3000</v>
      </c>
    </row>
    <row r="3" spans="1:4" x14ac:dyDescent="0.25">
      <c r="A3" s="2" t="s">
        <v>16</v>
      </c>
      <c r="B3" s="2" t="s">
        <v>43</v>
      </c>
      <c r="C3" s="2" t="s">
        <v>42</v>
      </c>
      <c r="D3" s="2">
        <v>3000</v>
      </c>
    </row>
    <row r="4" spans="1:4" x14ac:dyDescent="0.25">
      <c r="A4" s="2" t="s">
        <v>20</v>
      </c>
      <c r="B4" s="2" t="s">
        <v>44</v>
      </c>
      <c r="C4" s="2" t="s">
        <v>45</v>
      </c>
      <c r="D4" s="2">
        <v>3500</v>
      </c>
    </row>
    <row r="5" spans="1:4" x14ac:dyDescent="0.25">
      <c r="A5" s="2" t="s">
        <v>24</v>
      </c>
      <c r="B5" s="2" t="s">
        <v>46</v>
      </c>
      <c r="C5" s="2" t="s">
        <v>47</v>
      </c>
      <c r="D5" s="2">
        <v>5000</v>
      </c>
    </row>
    <row r="6" spans="1:4" x14ac:dyDescent="0.25">
      <c r="A6" s="2" t="s">
        <v>27</v>
      </c>
      <c r="B6" s="2" t="s">
        <v>48</v>
      </c>
      <c r="C6" s="2" t="s">
        <v>42</v>
      </c>
      <c r="D6" s="2">
        <v>4000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E2"/>
  <sheetViews>
    <sheetView workbookViewId="0"/>
  </sheetViews>
  <sheetFormatPr defaultColWidth="12.6640625" defaultRowHeight="15.75" customHeight="1" x14ac:dyDescent="0.25"/>
  <sheetData>
    <row r="1" spans="1:5" x14ac:dyDescent="0.25">
      <c r="A1" s="1" t="s">
        <v>2</v>
      </c>
      <c r="B1" s="1" t="s">
        <v>11</v>
      </c>
      <c r="C1" s="1" t="s">
        <v>15</v>
      </c>
      <c r="D1" s="1" t="s">
        <v>19</v>
      </c>
      <c r="E1" s="1" t="s">
        <v>23</v>
      </c>
    </row>
    <row r="2" spans="1:5" x14ac:dyDescent="0.25">
      <c r="A2" s="2" t="s">
        <v>49</v>
      </c>
      <c r="B2" s="2">
        <v>150000</v>
      </c>
      <c r="C2" s="2">
        <v>140000</v>
      </c>
      <c r="D2" s="2">
        <v>120000</v>
      </c>
      <c r="E2" s="2">
        <v>160000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Sales_Data</vt:lpstr>
      <vt:lpstr>Product_Master</vt:lpstr>
      <vt:lpstr>Monthly Target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rahul thakre</cp:lastModifiedBy>
  <dcterms:created xsi:type="dcterms:W3CDTF">2025-11-01T06:41:49Z</dcterms:created>
  <dcterms:modified xsi:type="dcterms:W3CDTF">2025-11-01T08:49:36Z</dcterms:modified>
</cp:coreProperties>
</file>